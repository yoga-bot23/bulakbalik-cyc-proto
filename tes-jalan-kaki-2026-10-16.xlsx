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Tes" state="visible" r:id="rId4"/>
    <sheet sheetId="2" name="Ringkasan" state="visible" r:id="rId5"/>
  </sheets>
  <calcPr calcId="171027"/>
</workbook>
</file>

<file path=xl/sharedStrings.xml><?xml version="1.0" encoding="utf-8"?>
<sst xmlns="http://schemas.openxmlformats.org/spreadsheetml/2006/main" count="307" uniqueCount="171">
  <si>
    <t>ID</t>
  </si>
  <si>
    <t>Bagian</t>
  </si>
  <si>
    <t>Langkah</t>
  </si>
  <si>
    <t>Cara / yang harus kejadian</t>
  </si>
  <si>
    <t>Status</t>
  </si>
  <si>
    <t>Catatan (kalau Bug: apa, di mana, jam berapa)</t>
  </si>
  <si>
    <t>01</t>
  </si>
  <si>
    <t>Siapin (sebelum keluar)</t>
  </si>
  <si>
    <t>HP dicas ≥80%</t>
  </si>
  <si>
    <t>Powerbank + kabel dibawa kalau jalannya lama</t>
  </si>
  <si>
    <t>Belum</t>
  </si>
  <si>
    <t/>
  </si>
  <si>
    <t>02</t>
  </si>
  <si>
    <t>Bikin GPX rute jalan kaki</t>
  </si>
  <si>
    <t>gpx.studio → mode Jalan kaki → muter blok deket rumah 1–2 km, start = finish di depan rumah. Download, simpen di HP</t>
  </si>
  <si>
    <t>03</t>
  </si>
  <si>
    <t>Lokasi HP: Akurasi tinggi</t>
  </si>
  <si>
    <t>Setelan → Lokasi → Akurasi lokasi Google nyala</t>
  </si>
  <si>
    <t>04</t>
  </si>
  <si>
    <t>Hemat baterai mati</t>
  </si>
  <si>
    <t>Chrome dikecualiin dari optimasi baterai</t>
  </si>
  <si>
    <t>05</t>
  </si>
  <si>
    <t>Pembanding nyala</t>
  </si>
  <si>
    <t>Opsional: Strava (mode Jalan) atau Google Fit jalan bareng</t>
  </si>
  <si>
    <t>06</t>
  </si>
  <si>
    <t>Aman di jalan</t>
  </si>
  <si>
    <t>Malem: lewat trotoar yang terang, jangan ngeliatin HP pas nyebrang</t>
  </si>
  <si>
    <t>A1</t>
  </si>
  <si>
    <t>Akun baru (di rumah, ±5 mnt)</t>
  </si>
  <si>
    <t>Buka link + install ke layar utama</t>
  </si>
  <si>
    <t>Chrome → ⋮ → Tambahkan ke layar utama. Abis itu buka dari ikon, bukan dari Chrome</t>
  </si>
  <si>
    <t>A2</t>
  </si>
  <si>
    <t>Daftar dari awal sampe Beranda</t>
  </si>
  <si>
    <t>Isi email lo, kode OTP demo: 123456. Isi nama + sepeda</t>
  </si>
  <si>
    <t>A3</t>
  </si>
  <si>
    <t>Beranda kosong</t>
  </si>
  <si>
    <t>Feed sepi, story cuma "Lo", nggak ada Saipul/Juleha/Goy</t>
  </si>
  <si>
    <t>A4</t>
  </si>
  <si>
    <t>Profil kosong</t>
  </si>
  <si>
    <t>Nama &amp; huruf avatar = nama lo, 0 gowesan, lencana belum kebuka</t>
  </si>
  <si>
    <t>A5</t>
  </si>
  <si>
    <t>Tab Jelajah, Rombongan, Notif kosong</t>
  </si>
  <si>
    <t>Semua nunjukin layar kosong, bukan data contoh</t>
  </si>
  <si>
    <t>B1</t>
  </si>
  <si>
    <t>Siapin rute (di rumah)</t>
  </si>
  <si>
    <t>Mulai tanpa rute → diblok</t>
  </si>
  <si>
    <t>Tombol Gowes tengah → Gowes sendiri → langsung tekan Mulai. Harus ada pesan "Pilih rute dulu"</t>
  </si>
  <si>
    <t>B2</t>
  </si>
  <si>
    <t>Upload GPX kebaca</t>
  </si>
  <si>
    <t>Pilih → Upload file GPX. Nama rute + jarak nongol, gambarnya bener</t>
  </si>
  <si>
    <t>B3</t>
  </si>
  <si>
    <t>Tutup app total, buka lagi</t>
  </si>
  <si>
    <t>Masuk lagi ke Gowes sendiri → Pilih: rute lo masih ada di "Rute tersimpan"</t>
  </si>
  <si>
    <t>B4</t>
  </si>
  <si>
    <t>Toggle GPS nyala</t>
  </si>
  <si>
    <t>"Pakai GPS HP beneran" = nyala</t>
  </si>
  <si>
    <t>C1</t>
  </si>
  <si>
    <t>Start (di depan rumah)</t>
  </si>
  <si>
    <t>Izin lokasi → izinin</t>
  </si>
  <si>
    <t>Muncul pas tekan Mulai. Abis itu hitung mundur 3-2-1</t>
  </si>
  <si>
    <t>C2</t>
  </si>
  <si>
    <t>Peta OSM muncul</t>
  </si>
  <si>
    <t>Titik lo di posisi yang bener (cek sama Google Maps), lingkaran akurasi kecil</t>
  </si>
  <si>
    <t>C3</t>
  </si>
  <si>
    <t>Rute GPX kegambar</t>
  </si>
  <si>
    <t>Garis lime rute + titik finish keliatan</t>
  </si>
  <si>
    <t>D1</t>
  </si>
  <si>
    <t>Selama jalan (±15–25 mnt)</t>
  </si>
  <si>
    <t>Titik ngikutin lo</t>
  </si>
  <si>
    <t>Gerak pas lo jalan, nggak loncat ke gedung/jalan sebelah</t>
  </si>
  <si>
    <t>D2</t>
  </si>
  <si>
    <t>Jarak nambah</t>
  </si>
  <si>
    <t>Jalan kaki ±5 km/j. Catet angka di app tiap 5 menit kalau sempet</t>
  </si>
  <si>
    <t>D3</t>
  </si>
  <si>
    <t>Layar nggak mati sendiri</t>
  </si>
  <si>
    <t>Biarin tanpa disentuh 2–3 menit</t>
  </si>
  <si>
    <t>D4</t>
  </si>
  <si>
    <t>Diem 1 menit → jarak nggak nambah</t>
  </si>
  <si>
    <t>Berdiri diem di satu titik. Ini juga kecatet sebagai BERHENTI</t>
  </si>
  <si>
    <t>D5</t>
  </si>
  <si>
    <t>Rute yang udah lewat jadi abu</t>
  </si>
  <si>
    <t>–</t>
  </si>
  <si>
    <t>D6</t>
  </si>
  <si>
    <t>Keluar rute &gt;60 m → ada notif</t>
  </si>
  <si>
    <t>Belok ke gang lain sebentar (±1 blok), terus balik ke rute</t>
  </si>
  <si>
    <t>D7</t>
  </si>
  <si>
    <t>Geser peta → "Ikutin posisi"</t>
  </si>
  <si>
    <t>Geser pakai jari, tombol muncul, tap → peta balik ke lo</t>
  </si>
  <si>
    <t>D8</t>
  </si>
  <si>
    <t>Matiin data seluler 1 menit</t>
  </si>
  <si>
    <t>GPS tetep jalan? Peta yang udah kebuka tetep keliatan? Nyalain lagi</t>
  </si>
  <si>
    <t>D9</t>
  </si>
  <si>
    <t>Tutup paksa app, buka lagi</t>
  </si>
  <si>
    <t>Swipe app dari recent, buka dari ikon → harus muncul "Gowesan tadi kepotong"</t>
  </si>
  <si>
    <t>E1</t>
  </si>
  <si>
    <t>Rekaman kepotong</t>
  </si>
  <si>
    <t>Liat ringkasan</t>
  </si>
  <si>
    <t>Dari dialog tadi. Jejak sampe titik lo nutup app keliatan</t>
  </si>
  <si>
    <t>E2</t>
  </si>
  <si>
    <t>Mulai lagi buat sisa rute</t>
  </si>
  <si>
    <t>Gowes sendiri → pilih rute yang sama → Mulai, terusin jalan sampe rumah</t>
  </si>
  <si>
    <t>E3</t>
  </si>
  <si>
    <t>Sampe finish → selesai otomatis</t>
  </si>
  <si>
    <t>Kejadian kalau udah ≥80% jarak rute. Kalau nggak, tekan Selesai manual &amp; catet</t>
  </si>
  <si>
    <t>F1</t>
  </si>
  <si>
    <t>Abis selesai (di rumah)</t>
  </si>
  <si>
    <t>Ringkasan masuk akal</t>
  </si>
  <si>
    <t>Peta jejak asli, jarak, waktu, rata-rata ±4–6 km/j, BERHENTI ada</t>
  </si>
  <si>
    <t>F2</t>
  </si>
  <si>
    <t>NANJAK</t>
  </si>
  <si>
    <t>Jalan rata harusnya kecil (0–10 m) atau "–". Catet angkanya</t>
  </si>
  <si>
    <t>F3</t>
  </si>
  <si>
    <t>Bandingin sama Strava/Fit</t>
  </si>
  <si>
    <t>Tulis jarak app vs pembanding</t>
  </si>
  <si>
    <t>F4</t>
  </si>
  <si>
    <t>Bagiin → Strava → GPX</t>
  </si>
  <si>
    <t>File ke-download. Upload manual di strava.com → jejaknya sama</t>
  </si>
  <si>
    <t>F5</t>
  </si>
  <si>
    <t>Bagiin → Simpan gambar</t>
  </si>
  <si>
    <t>Kartu PNG kesimpen di galeri/download</t>
  </si>
  <si>
    <t>F6</t>
  </si>
  <si>
    <t>Posting ke feed</t>
  </si>
  <si>
    <t>Isi judul → Bagikan. Postingan pakai peta jejak + nama lo</t>
  </si>
  <si>
    <t>F7</t>
  </si>
  <si>
    <t>Profil keupdate</t>
  </si>
  <si>
    <t>Gowesan = 1–2, km total sesuai, lencana Gowes sendiri nambah</t>
  </si>
  <si>
    <t>F8</t>
  </si>
  <si>
    <t>Tutup app, buka lagi</t>
  </si>
  <si>
    <t>Profil + pencapaian masih ada</t>
  </si>
  <si>
    <t>G1</t>
  </si>
  <si>
    <t>Rombongan (di rumah, tanpa temen)</t>
  </si>
  <si>
    <t>Bikin rombongan: titik kumpul wajib</t>
  </si>
  <si>
    <t>Gowes → Bareng rombongan. Kosongin titik kumpul → Lanjut harus diblok</t>
  </si>
  <si>
    <t>G2</t>
  </si>
  <si>
    <t>Lobi baru lo doang</t>
  </si>
  <si>
    <t>Nggak ada yang tiba-tiba minta gabung. Tombol Gas mati: "ajak minimal 1 temen"</t>
  </si>
  <si>
    <t>G3</t>
  </si>
  <si>
    <t>Tab Rombongan</t>
  </si>
  <si>
    <t>Kartu LOBI punya lo muncul</t>
  </si>
  <si>
    <t>G4</t>
  </si>
  <si>
    <t>Gabung pakai kode</t>
  </si>
  <si>
    <t>Masukin kode apa aja → "Kode nggak ketemu… belum bisa"</t>
  </si>
  <si>
    <t>H1</t>
  </si>
  <si>
    <t>Catetan umum</t>
  </si>
  <si>
    <t>Baterai</t>
  </si>
  <si>
    <t>Tulis persen pas mulai &amp; selesai</t>
  </si>
  <si>
    <t>H2</t>
  </si>
  <si>
    <t>HP panas?</t>
  </si>
  <si>
    <t>Tulis kalau kerasa panas</t>
  </si>
  <si>
    <t>H3</t>
  </si>
  <si>
    <t>Hal lain yang aneh</t>
  </si>
  <si>
    <t>Tampilan kepotong, tombol nggak bisa dipencet, teks aneh, dll.</t>
  </si>
  <si>
    <t>Tes jalan kaki · Bulakbalik CYC</t>
  </si>
  <si>
    <t>Jumat malem, 16 Okt 2026 · jalan kaki muter rumah pakai GPS HP · link: https://yoga-bot23.github.io/bulakbalik-cyc-proto/</t>
  </si>
  <si>
    <t>Cara isi</t>
  </si>
  <si>
    <t>1. Buka sheet "Tes". Yang diisi cuma kolom Status (kuning, pilih dari dropdown) dan Catatan.</t>
  </si>
  <si>
    <t>2. Status: OK = jalan sesuai · Bug = ada yang aneh (wajib tulis catatan) · Skip = nggak dites · Belum = default.</t>
  </si>
  <si>
    <t>3. Contoh catatan Bug: "Titik loncat ke jalan sebelah ±30 m, di pertigaan deket masjid, 20.15".</t>
  </si>
  <si>
    <t>4. Kode OTP demo: 123456. Abis selesai, kirim file ini ke Claude.</t>
  </si>
  <si>
    <t>Total</t>
  </si>
  <si>
    <t>OK</t>
  </si>
  <si>
    <t>Bug</t>
  </si>
  <si>
    <t>Skip</t>
  </si>
  <si>
    <t>Progres (yang udah dicek)</t>
  </si>
  <si>
    <t>Catatan angka (isi manual)</t>
  </si>
  <si>
    <t>Jarak di app (km)</t>
  </si>
  <si>
    <t>Jarak di Strava/Fit (km)</t>
  </si>
  <si>
    <t>Baterai pas mulai (%)</t>
  </si>
  <si>
    <t>Baterai pas selesai (%)</t>
  </si>
  <si>
    <t>Durasi total (menit)</t>
  </si>
  <si>
    <t>Selisih jarak app vs pembanding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</si>
</sst>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sz val="10"/>
      <name val="Arial"/>
    </font>
    <font>
      <color rgb="FF707070"/>
      <sz val="10"/>
      <name val="Arial"/>
    </font>
    <font>
      <sz val="10"/>
      <name val="Arial"/>
    </font>
    <font>
      <b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0E0F12"/>
      </patternFill>
    </fill>
    <fill>
      <patternFill patternType="solid">
        <fgColor rgb="FFFFF3CD"/>
      </patternFill>
    </fill>
    <fill>
      <patternFill patternType="solid">
        <fgColor rgb="FFFFFDF0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2" fillId="0" borderId="0" xfId="0" applyFont="1"/>
    <xf numFmtId="0" fontId="1" fillId="2" borderId="1" xfId="0" applyFont="1" applyFill="1" applyBorder="1"/>
    <xf numFmtId="0" fontId="4" fillId="0" borderId="1" xfId="0" applyFont="1" applyBorder="1"/>
    <xf numFmtId="0" fontId="2" fillId="5" borderId="1" xfId="0" applyFont="1" applyFill="1" applyBorder="1"/>
    <xf numFmtId="9" fontId="2" fillId="0" borderId="0" xfId="0" applyNumberFormat="1" applyFont="1"/>
    <xf numFmtId="0" fontId="4" fillId="3" borderId="1" xfId="0" applyFont="1" applyFill="1" applyBorder="1"/>
    <xf numFmtId="164" fontId="2" fillId="0" borderId="0" xfId="0" applyNumberFormat="1" applyFont="1"/>
  </cellXfs>
  <cellStyles count="1">
    <cellStyle name="Normal" xfId="0" builtinId="0"/>
  </cellStyles>
  <dxfs count="3">
    <dxf>
      <font>
        <b/>
        <color rgb="FF2E7D32"/>
        <sz val="10"/>
        <name val="Arial"/>
      </font>
      <fill>
        <patternFill patternType="solid">
          <fgColor rgb="FFD4FFCD"/>
        </patternFill>
      </fill>
    </dxf>
    <dxf>
      <font>
        <b/>
        <color rgb="FFFF0000"/>
        <sz val="10"/>
        <name val="Arial"/>
      </font>
      <fill>
        <patternFill patternType="solid">
          <fgColor rgb="FFFFE3E3"/>
        </patternFill>
      </fill>
    </dxf>
    <dxf>
      <font>
        <color rgb="FF707070"/>
        <sz val="10"/>
        <name val="Arial"/>
      </font>
      <fill>
        <patternFill patternType="solid">
          <fgColor rgb="FFEAEA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6" customWidth="1"/>
    <col min="4" max="4" width="58" customWidth="1"/>
    <col min="5" max="5" width="11" customWidth="1"/>
    <col min="6" max="6" width="4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2" t="s">
        <v>8</v>
      </c>
      <c r="D2" s="4" t="s">
        <v>9</v>
      </c>
      <c r="E2" s="5" t="s">
        <v>10</v>
      </c>
      <c r="F2" s="6" t="s">
        <v>11</v>
      </c>
    </row>
    <row r="3" spans="1:6" x14ac:dyDescent="0.25">
      <c r="A3" s="2" t="s">
        <v>12</v>
      </c>
      <c r="B3" s="3" t="s">
        <v>7</v>
      </c>
      <c r="C3" s="2" t="s">
        <v>13</v>
      </c>
      <c r="D3" s="4" t="s">
        <v>14</v>
      </c>
      <c r="E3" s="5" t="s">
        <v>10</v>
      </c>
      <c r="F3" s="6" t="s">
        <v>11</v>
      </c>
    </row>
    <row r="4" spans="1:6" x14ac:dyDescent="0.25">
      <c r="A4" s="2" t="s">
        <v>15</v>
      </c>
      <c r="B4" s="3" t="s">
        <v>7</v>
      </c>
      <c r="C4" s="2" t="s">
        <v>16</v>
      </c>
      <c r="D4" s="4" t="s">
        <v>17</v>
      </c>
      <c r="E4" s="5" t="s">
        <v>10</v>
      </c>
      <c r="F4" s="6" t="s">
        <v>11</v>
      </c>
    </row>
    <row r="5" spans="1:6" x14ac:dyDescent="0.25">
      <c r="A5" s="2" t="s">
        <v>18</v>
      </c>
      <c r="B5" s="3" t="s">
        <v>7</v>
      </c>
      <c r="C5" s="2" t="s">
        <v>19</v>
      </c>
      <c r="D5" s="4" t="s">
        <v>20</v>
      </c>
      <c r="E5" s="5" t="s">
        <v>10</v>
      </c>
      <c r="F5" s="6" t="s">
        <v>11</v>
      </c>
    </row>
    <row r="6" spans="1:6" x14ac:dyDescent="0.25">
      <c r="A6" s="2" t="s">
        <v>21</v>
      </c>
      <c r="B6" s="3" t="s">
        <v>7</v>
      </c>
      <c r="C6" s="2" t="s">
        <v>22</v>
      </c>
      <c r="D6" s="4" t="s">
        <v>23</v>
      </c>
      <c r="E6" s="5" t="s">
        <v>10</v>
      </c>
      <c r="F6" s="6" t="s">
        <v>11</v>
      </c>
    </row>
    <row r="7" spans="1:6" x14ac:dyDescent="0.25">
      <c r="A7" s="2" t="s">
        <v>24</v>
      </c>
      <c r="B7" s="3" t="s">
        <v>7</v>
      </c>
      <c r="C7" s="2" t="s">
        <v>25</v>
      </c>
      <c r="D7" s="4" t="s">
        <v>26</v>
      </c>
      <c r="E7" s="5" t="s">
        <v>10</v>
      </c>
      <c r="F7" s="6" t="s">
        <v>11</v>
      </c>
    </row>
    <row r="8" spans="1:6" x14ac:dyDescent="0.25">
      <c r="A8" s="2" t="s">
        <v>27</v>
      </c>
      <c r="B8" s="4" t="s">
        <v>28</v>
      </c>
      <c r="C8" s="2" t="s">
        <v>29</v>
      </c>
      <c r="D8" s="4" t="s">
        <v>30</v>
      </c>
      <c r="E8" s="5" t="s">
        <v>10</v>
      </c>
      <c r="F8" s="6" t="s">
        <v>11</v>
      </c>
    </row>
    <row r="9" spans="1:6" x14ac:dyDescent="0.25">
      <c r="A9" s="2" t="s">
        <v>31</v>
      </c>
      <c r="B9" s="4" t="s">
        <v>28</v>
      </c>
      <c r="C9" s="2" t="s">
        <v>32</v>
      </c>
      <c r="D9" s="4" t="s">
        <v>33</v>
      </c>
      <c r="E9" s="5" t="s">
        <v>10</v>
      </c>
      <c r="F9" s="6" t="s">
        <v>11</v>
      </c>
    </row>
    <row r="10" spans="1:6" x14ac:dyDescent="0.25">
      <c r="A10" s="2" t="s">
        <v>34</v>
      </c>
      <c r="B10" s="4" t="s">
        <v>28</v>
      </c>
      <c r="C10" s="2" t="s">
        <v>35</v>
      </c>
      <c r="D10" s="4" t="s">
        <v>36</v>
      </c>
      <c r="E10" s="5" t="s">
        <v>10</v>
      </c>
      <c r="F10" s="6" t="s">
        <v>11</v>
      </c>
    </row>
    <row r="11" spans="1:6" x14ac:dyDescent="0.25">
      <c r="A11" s="2" t="s">
        <v>37</v>
      </c>
      <c r="B11" s="4" t="s">
        <v>28</v>
      </c>
      <c r="C11" s="2" t="s">
        <v>38</v>
      </c>
      <c r="D11" s="4" t="s">
        <v>39</v>
      </c>
      <c r="E11" s="5" t="s">
        <v>10</v>
      </c>
      <c r="F11" s="6" t="s">
        <v>11</v>
      </c>
    </row>
    <row r="12" spans="1:6" x14ac:dyDescent="0.25">
      <c r="A12" s="2" t="s">
        <v>40</v>
      </c>
      <c r="B12" s="4" t="s">
        <v>28</v>
      </c>
      <c r="C12" s="2" t="s">
        <v>41</v>
      </c>
      <c r="D12" s="4" t="s">
        <v>42</v>
      </c>
      <c r="E12" s="5" t="s">
        <v>10</v>
      </c>
      <c r="F12" s="6" t="s">
        <v>11</v>
      </c>
    </row>
    <row r="13" spans="1:6" x14ac:dyDescent="0.25">
      <c r="A13" s="2" t="s">
        <v>43</v>
      </c>
      <c r="B13" s="4" t="s">
        <v>44</v>
      </c>
      <c r="C13" s="2" t="s">
        <v>45</v>
      </c>
      <c r="D13" s="4" t="s">
        <v>46</v>
      </c>
      <c r="E13" s="5" t="s">
        <v>10</v>
      </c>
      <c r="F13" s="6" t="s">
        <v>11</v>
      </c>
    </row>
    <row r="14" spans="1:6" x14ac:dyDescent="0.25">
      <c r="A14" s="2" t="s">
        <v>47</v>
      </c>
      <c r="B14" s="4" t="s">
        <v>44</v>
      </c>
      <c r="C14" s="2" t="s">
        <v>48</v>
      </c>
      <c r="D14" s="4" t="s">
        <v>49</v>
      </c>
      <c r="E14" s="5" t="s">
        <v>10</v>
      </c>
      <c r="F14" s="6" t="s">
        <v>11</v>
      </c>
    </row>
    <row r="15" spans="1:6" x14ac:dyDescent="0.25">
      <c r="A15" s="2" t="s">
        <v>50</v>
      </c>
      <c r="B15" s="4" t="s">
        <v>44</v>
      </c>
      <c r="C15" s="2" t="s">
        <v>51</v>
      </c>
      <c r="D15" s="4" t="s">
        <v>52</v>
      </c>
      <c r="E15" s="5" t="s">
        <v>10</v>
      </c>
      <c r="F15" s="6" t="s">
        <v>11</v>
      </c>
    </row>
    <row r="16" spans="1:6" x14ac:dyDescent="0.25">
      <c r="A16" s="2" t="s">
        <v>53</v>
      </c>
      <c r="B16" s="4" t="s">
        <v>44</v>
      </c>
      <c r="C16" s="2" t="s">
        <v>54</v>
      </c>
      <c r="D16" s="4" t="s">
        <v>55</v>
      </c>
      <c r="E16" s="5" t="s">
        <v>10</v>
      </c>
      <c r="F16" s="6" t="s">
        <v>11</v>
      </c>
    </row>
    <row r="17" spans="1:6" x14ac:dyDescent="0.25">
      <c r="A17" s="2" t="s">
        <v>56</v>
      </c>
      <c r="B17" s="4" t="s">
        <v>57</v>
      </c>
      <c r="C17" s="2" t="s">
        <v>58</v>
      </c>
      <c r="D17" s="4" t="s">
        <v>59</v>
      </c>
      <c r="E17" s="5" t="s">
        <v>10</v>
      </c>
      <c r="F17" s="6" t="s">
        <v>11</v>
      </c>
    </row>
    <row r="18" spans="1:6" x14ac:dyDescent="0.25">
      <c r="A18" s="2" t="s">
        <v>60</v>
      </c>
      <c r="B18" s="4" t="s">
        <v>57</v>
      </c>
      <c r="C18" s="2" t="s">
        <v>61</v>
      </c>
      <c r="D18" s="4" t="s">
        <v>62</v>
      </c>
      <c r="E18" s="5" t="s">
        <v>10</v>
      </c>
      <c r="F18" s="6" t="s">
        <v>11</v>
      </c>
    </row>
    <row r="19" spans="1:6" x14ac:dyDescent="0.25">
      <c r="A19" s="2" t="s">
        <v>63</v>
      </c>
      <c r="B19" s="4" t="s">
        <v>57</v>
      </c>
      <c r="C19" s="2" t="s">
        <v>64</v>
      </c>
      <c r="D19" s="4" t="s">
        <v>65</v>
      </c>
      <c r="E19" s="5" t="s">
        <v>10</v>
      </c>
      <c r="F19" s="6" t="s">
        <v>11</v>
      </c>
    </row>
    <row r="20" spans="1:6" x14ac:dyDescent="0.25">
      <c r="A20" s="2" t="s">
        <v>66</v>
      </c>
      <c r="B20" s="4" t="s">
        <v>67</v>
      </c>
      <c r="C20" s="2" t="s">
        <v>68</v>
      </c>
      <c r="D20" s="4" t="s">
        <v>69</v>
      </c>
      <c r="E20" s="5" t="s">
        <v>10</v>
      </c>
      <c r="F20" s="6" t="s">
        <v>11</v>
      </c>
    </row>
    <row r="21" spans="1:6" x14ac:dyDescent="0.25">
      <c r="A21" s="2" t="s">
        <v>70</v>
      </c>
      <c r="B21" s="4" t="s">
        <v>67</v>
      </c>
      <c r="C21" s="2" t="s">
        <v>71</v>
      </c>
      <c r="D21" s="4" t="s">
        <v>72</v>
      </c>
      <c r="E21" s="5" t="s">
        <v>10</v>
      </c>
      <c r="F21" s="6" t="s">
        <v>11</v>
      </c>
    </row>
    <row r="22" spans="1:6" x14ac:dyDescent="0.25">
      <c r="A22" s="2" t="s">
        <v>73</v>
      </c>
      <c r="B22" s="4" t="s">
        <v>67</v>
      </c>
      <c r="C22" s="2" t="s">
        <v>74</v>
      </c>
      <c r="D22" s="4" t="s">
        <v>75</v>
      </c>
      <c r="E22" s="5" t="s">
        <v>10</v>
      </c>
      <c r="F22" s="6" t="s">
        <v>11</v>
      </c>
    </row>
    <row r="23" spans="1:6" x14ac:dyDescent="0.25">
      <c r="A23" s="2" t="s">
        <v>76</v>
      </c>
      <c r="B23" s="4" t="s">
        <v>67</v>
      </c>
      <c r="C23" s="2" t="s">
        <v>77</v>
      </c>
      <c r="D23" s="4" t="s">
        <v>78</v>
      </c>
      <c r="E23" s="5" t="s">
        <v>10</v>
      </c>
      <c r="F23" s="6" t="s">
        <v>11</v>
      </c>
    </row>
    <row r="24" spans="1:6" x14ac:dyDescent="0.25">
      <c r="A24" s="2" t="s">
        <v>79</v>
      </c>
      <c r="B24" s="4" t="s">
        <v>67</v>
      </c>
      <c r="C24" s="2" t="s">
        <v>80</v>
      </c>
      <c r="D24" s="4" t="s">
        <v>81</v>
      </c>
      <c r="E24" s="5" t="s">
        <v>10</v>
      </c>
      <c r="F24" s="6" t="s">
        <v>11</v>
      </c>
    </row>
    <row r="25" spans="1:6" x14ac:dyDescent="0.25">
      <c r="A25" s="2" t="s">
        <v>82</v>
      </c>
      <c r="B25" s="4" t="s">
        <v>67</v>
      </c>
      <c r="C25" s="2" t="s">
        <v>83</v>
      </c>
      <c r="D25" s="4" t="s">
        <v>84</v>
      </c>
      <c r="E25" s="5" t="s">
        <v>10</v>
      </c>
      <c r="F25" s="6" t="s">
        <v>11</v>
      </c>
    </row>
    <row r="26" spans="1:6" x14ac:dyDescent="0.25">
      <c r="A26" s="2" t="s">
        <v>85</v>
      </c>
      <c r="B26" s="4" t="s">
        <v>67</v>
      </c>
      <c r="C26" s="2" t="s">
        <v>86</v>
      </c>
      <c r="D26" s="4" t="s">
        <v>87</v>
      </c>
      <c r="E26" s="5" t="s">
        <v>10</v>
      </c>
      <c r="F26" s="6" t="s">
        <v>11</v>
      </c>
    </row>
    <row r="27" spans="1:6" x14ac:dyDescent="0.25">
      <c r="A27" s="2" t="s">
        <v>88</v>
      </c>
      <c r="B27" s="4" t="s">
        <v>67</v>
      </c>
      <c r="C27" s="2" t="s">
        <v>89</v>
      </c>
      <c r="D27" s="4" t="s">
        <v>90</v>
      </c>
      <c r="E27" s="5" t="s">
        <v>10</v>
      </c>
      <c r="F27" s="6" t="s">
        <v>11</v>
      </c>
    </row>
    <row r="28" spans="1:6" x14ac:dyDescent="0.25">
      <c r="A28" s="2" t="s">
        <v>91</v>
      </c>
      <c r="B28" s="4" t="s">
        <v>67</v>
      </c>
      <c r="C28" s="2" t="s">
        <v>92</v>
      </c>
      <c r="D28" s="4" t="s">
        <v>93</v>
      </c>
      <c r="E28" s="5" t="s">
        <v>10</v>
      </c>
      <c r="F28" s="6" t="s">
        <v>11</v>
      </c>
    </row>
    <row r="29" spans="1:6" x14ac:dyDescent="0.25">
      <c r="A29" s="2" t="s">
        <v>94</v>
      </c>
      <c r="B29" s="4" t="s">
        <v>95</v>
      </c>
      <c r="C29" s="2" t="s">
        <v>96</v>
      </c>
      <c r="D29" s="4" t="s">
        <v>97</v>
      </c>
      <c r="E29" s="5" t="s">
        <v>10</v>
      </c>
      <c r="F29" s="6" t="s">
        <v>11</v>
      </c>
    </row>
    <row r="30" spans="1:6" x14ac:dyDescent="0.25">
      <c r="A30" s="2" t="s">
        <v>98</v>
      </c>
      <c r="B30" s="4" t="s">
        <v>95</v>
      </c>
      <c r="C30" s="2" t="s">
        <v>99</v>
      </c>
      <c r="D30" s="4" t="s">
        <v>100</v>
      </c>
      <c r="E30" s="5" t="s">
        <v>10</v>
      </c>
      <c r="F30" s="6" t="s">
        <v>11</v>
      </c>
    </row>
    <row r="31" spans="1:6" x14ac:dyDescent="0.25">
      <c r="A31" s="2" t="s">
        <v>101</v>
      </c>
      <c r="B31" s="4" t="s">
        <v>95</v>
      </c>
      <c r="C31" s="2" t="s">
        <v>102</v>
      </c>
      <c r="D31" s="4" t="s">
        <v>103</v>
      </c>
      <c r="E31" s="5" t="s">
        <v>10</v>
      </c>
      <c r="F31" s="6" t="s">
        <v>11</v>
      </c>
    </row>
    <row r="32" spans="1:6" x14ac:dyDescent="0.25">
      <c r="A32" s="2" t="s">
        <v>104</v>
      </c>
      <c r="B32" s="4" t="s">
        <v>105</v>
      </c>
      <c r="C32" s="2" t="s">
        <v>106</v>
      </c>
      <c r="D32" s="4" t="s">
        <v>107</v>
      </c>
      <c r="E32" s="5" t="s">
        <v>10</v>
      </c>
      <c r="F32" s="6" t="s">
        <v>11</v>
      </c>
    </row>
    <row r="33" spans="1:6" x14ac:dyDescent="0.25">
      <c r="A33" s="2" t="s">
        <v>108</v>
      </c>
      <c r="B33" s="4" t="s">
        <v>105</v>
      </c>
      <c r="C33" s="2" t="s">
        <v>109</v>
      </c>
      <c r="D33" s="4" t="s">
        <v>110</v>
      </c>
      <c r="E33" s="5" t="s">
        <v>10</v>
      </c>
      <c r="F33" s="6" t="s">
        <v>11</v>
      </c>
    </row>
    <row r="34" spans="1:6" x14ac:dyDescent="0.25">
      <c r="A34" s="2" t="s">
        <v>111</v>
      </c>
      <c r="B34" s="4" t="s">
        <v>105</v>
      </c>
      <c r="C34" s="2" t="s">
        <v>112</v>
      </c>
      <c r="D34" s="4" t="s">
        <v>113</v>
      </c>
      <c r="E34" s="5" t="s">
        <v>10</v>
      </c>
      <c r="F34" s="6" t="s">
        <v>11</v>
      </c>
    </row>
    <row r="35" spans="1:6" x14ac:dyDescent="0.25">
      <c r="A35" s="2" t="s">
        <v>114</v>
      </c>
      <c r="B35" s="4" t="s">
        <v>105</v>
      </c>
      <c r="C35" s="2" t="s">
        <v>115</v>
      </c>
      <c r="D35" s="4" t="s">
        <v>116</v>
      </c>
      <c r="E35" s="5" t="s">
        <v>10</v>
      </c>
      <c r="F35" s="6" t="s">
        <v>11</v>
      </c>
    </row>
    <row r="36" spans="1:6" x14ac:dyDescent="0.25">
      <c r="A36" s="2" t="s">
        <v>117</v>
      </c>
      <c r="B36" s="4" t="s">
        <v>105</v>
      </c>
      <c r="C36" s="2" t="s">
        <v>118</v>
      </c>
      <c r="D36" s="4" t="s">
        <v>119</v>
      </c>
      <c r="E36" s="5" t="s">
        <v>10</v>
      </c>
      <c r="F36" s="6" t="s">
        <v>11</v>
      </c>
    </row>
    <row r="37" spans="1:6" x14ac:dyDescent="0.25">
      <c r="A37" s="2" t="s">
        <v>120</v>
      </c>
      <c r="B37" s="4" t="s">
        <v>105</v>
      </c>
      <c r="C37" s="2" t="s">
        <v>121</v>
      </c>
      <c r="D37" s="4" t="s">
        <v>122</v>
      </c>
      <c r="E37" s="5" t="s">
        <v>10</v>
      </c>
      <c r="F37" s="6" t="s">
        <v>11</v>
      </c>
    </row>
    <row r="38" spans="1:6" x14ac:dyDescent="0.25">
      <c r="A38" s="2" t="s">
        <v>123</v>
      </c>
      <c r="B38" s="4" t="s">
        <v>105</v>
      </c>
      <c r="C38" s="2" t="s">
        <v>124</v>
      </c>
      <c r="D38" s="4" t="s">
        <v>125</v>
      </c>
      <c r="E38" s="5" t="s">
        <v>10</v>
      </c>
      <c r="F38" s="6" t="s">
        <v>11</v>
      </c>
    </row>
    <row r="39" spans="1:6" x14ac:dyDescent="0.25">
      <c r="A39" s="2" t="s">
        <v>126</v>
      </c>
      <c r="B39" s="4" t="s">
        <v>105</v>
      </c>
      <c r="C39" s="2" t="s">
        <v>127</v>
      </c>
      <c r="D39" s="4" t="s">
        <v>128</v>
      </c>
      <c r="E39" s="5" t="s">
        <v>10</v>
      </c>
      <c r="F39" s="6" t="s">
        <v>11</v>
      </c>
    </row>
    <row r="40" spans="1:6" x14ac:dyDescent="0.25">
      <c r="A40" s="2" t="s">
        <v>129</v>
      </c>
      <c r="B40" s="4" t="s">
        <v>130</v>
      </c>
      <c r="C40" s="2" t="s">
        <v>131</v>
      </c>
      <c r="D40" s="4" t="s">
        <v>132</v>
      </c>
      <c r="E40" s="5" t="s">
        <v>10</v>
      </c>
      <c r="F40" s="6" t="s">
        <v>11</v>
      </c>
    </row>
    <row r="41" spans="1:6" x14ac:dyDescent="0.25">
      <c r="A41" s="2" t="s">
        <v>133</v>
      </c>
      <c r="B41" s="4" t="s">
        <v>130</v>
      </c>
      <c r="C41" s="2" t="s">
        <v>134</v>
      </c>
      <c r="D41" s="4" t="s">
        <v>135</v>
      </c>
      <c r="E41" s="5" t="s">
        <v>10</v>
      </c>
      <c r="F41" s="6" t="s">
        <v>11</v>
      </c>
    </row>
    <row r="42" spans="1:6" x14ac:dyDescent="0.25">
      <c r="A42" s="2" t="s">
        <v>136</v>
      </c>
      <c r="B42" s="4" t="s">
        <v>130</v>
      </c>
      <c r="C42" s="2" t="s">
        <v>137</v>
      </c>
      <c r="D42" s="4" t="s">
        <v>138</v>
      </c>
      <c r="E42" s="5" t="s">
        <v>10</v>
      </c>
      <c r="F42" s="6" t="s">
        <v>11</v>
      </c>
    </row>
    <row r="43" spans="1:6" x14ac:dyDescent="0.25">
      <c r="A43" s="2" t="s">
        <v>139</v>
      </c>
      <c r="B43" s="4" t="s">
        <v>130</v>
      </c>
      <c r="C43" s="2" t="s">
        <v>140</v>
      </c>
      <c r="D43" s="4" t="s">
        <v>141</v>
      </c>
      <c r="E43" s="5" t="s">
        <v>10</v>
      </c>
      <c r="F43" s="6" t="s">
        <v>11</v>
      </c>
    </row>
    <row r="44" spans="1:6" x14ac:dyDescent="0.25">
      <c r="A44" s="2" t="s">
        <v>142</v>
      </c>
      <c r="B44" s="4" t="s">
        <v>143</v>
      </c>
      <c r="C44" s="2" t="s">
        <v>144</v>
      </c>
      <c r="D44" s="4" t="s">
        <v>145</v>
      </c>
      <c r="E44" s="5" t="s">
        <v>10</v>
      </c>
      <c r="F44" s="6" t="s">
        <v>11</v>
      </c>
    </row>
    <row r="45" spans="1:6" x14ac:dyDescent="0.25">
      <c r="A45" s="2" t="s">
        <v>146</v>
      </c>
      <c r="B45" s="4" t="s">
        <v>143</v>
      </c>
      <c r="C45" s="2" t="s">
        <v>147</v>
      </c>
      <c r="D45" s="4" t="s">
        <v>148</v>
      </c>
      <c r="E45" s="5" t="s">
        <v>10</v>
      </c>
      <c r="F45" s="6" t="s">
        <v>11</v>
      </c>
    </row>
    <row r="46" spans="1:6" x14ac:dyDescent="0.25">
      <c r="A46" s="2" t="s">
        <v>149</v>
      </c>
      <c r="B46" s="4" t="s">
        <v>143</v>
      </c>
      <c r="C46" s="2" t="s">
        <v>150</v>
      </c>
      <c r="D46" s="4" t="s">
        <v>151</v>
      </c>
      <c r="E46" s="5" t="s">
        <v>10</v>
      </c>
      <c r="F46" s="6" t="s">
        <v>11</v>
      </c>
    </row>
  </sheetData>
  <autoFilter ref="A1:F46"/>
  <conditionalFormatting sqref="E2:E46">
    <cfRule type="cellIs" dxfId="0" priority="1" operator="equal">
      <formula>"OK"</formula>
    </cfRule>
    <cfRule type="cellIs" dxfId="1" priority="2" operator="equal">
      <formula>"Bug"</formula>
    </cfRule>
    <cfRule type="cellIs" dxfId="2" priority="3" operator="equal">
      <formula>"Skip"</formula>
    </cfRule>
  </conditionalFormatting>
  <dataValidations count="2">
    <dataValidation type="list" showErrorMessage="1" errorTitle="Status" error="Pilih: Belum, OK, Bug, atau Skip" sqref="E10:E46">
      <formula1>"Belum,OK,Bug,Skip"</formula1>
    </dataValidation>
    <dataValidation type="list" showErrorMessage="1" errorTitle="Status" error="Pilih: Belum, OK, Bug, atau Skip" sqref="E2:E46">
      <formula1>"Belum,OK,Bug,Skip"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34" customWidth="1"/>
    <col min="2" max="6" width="12" customWidth="1"/>
  </cols>
  <sheetData>
    <row r="1" spans="1:1" x14ac:dyDescent="0.25">
      <c r="A1" s="7" t="s">
        <v>152</v>
      </c>
    </row>
    <row r="2" spans="1:1" x14ac:dyDescent="0.25">
      <c r="A2" s="8" t="s">
        <v>153</v>
      </c>
    </row>
    <row r="4" spans="1:1" x14ac:dyDescent="0.25">
      <c r="A4" s="9" t="s">
        <v>154</v>
      </c>
    </row>
    <row r="5" spans="1:1" x14ac:dyDescent="0.25">
      <c r="A5" s="8" t="s">
        <v>155</v>
      </c>
    </row>
    <row r="6" spans="1:1" x14ac:dyDescent="0.25">
      <c r="A6" s="8" t="s">
        <v>156</v>
      </c>
    </row>
    <row r="7" spans="1:1" x14ac:dyDescent="0.25">
      <c r="A7" s="8" t="s">
        <v>157</v>
      </c>
    </row>
    <row r="8" spans="1:1" x14ac:dyDescent="0.25">
      <c r="A8" s="8" t="s">
        <v>158</v>
      </c>
    </row>
    <row r="10" spans="1:6" x14ac:dyDescent="0.25">
      <c r="A10" s="10" t="s">
        <v>1</v>
      </c>
      <c r="B10" s="10" t="s">
        <v>159</v>
      </c>
      <c r="C10" s="10" t="s">
        <v>160</v>
      </c>
      <c r="D10" s="10" t="s">
        <v>161</v>
      </c>
      <c r="E10" s="10" t="s">
        <v>162</v>
      </c>
      <c r="F10" s="10" t="s">
        <v>10</v>
      </c>
    </row>
    <row r="11" spans="1:6" x14ac:dyDescent="0.25">
      <c r="A11" s="11" t="s">
        <v>7</v>
      </c>
      <c r="B11" s="11">
        <f>COUNTIF(Tes!$B$2:$B$46,"Siapin (sebelum keluar)")</f>
      </c>
      <c r="C11" s="11">
        <f>COUNTIFS(Tes!$B$2:$B$46,"Siapin (sebelum keluar)",Tes!$E$2:$E$46,"OK")</f>
      </c>
      <c r="D11" s="11">
        <f>COUNTIFS(Tes!$B$2:$B$46,"Siapin (sebelum keluar)",Tes!$E$2:$E$46,"Bug")</f>
      </c>
      <c r="E11" s="11">
        <f>COUNTIFS(Tes!$B$2:$B$46,"Siapin (sebelum keluar)",Tes!$E$2:$E$46,"Skip")</f>
      </c>
      <c r="F11" s="11">
        <f>COUNTIFS(Tes!$B$2:$B$46,"Siapin (sebelum keluar)",Tes!$E$2:$E$46,"Belum")</f>
      </c>
    </row>
    <row r="12" spans="1:6" x14ac:dyDescent="0.25">
      <c r="A12" s="11" t="s">
        <v>28</v>
      </c>
      <c r="B12" s="11">
        <f>COUNTIF(Tes!$B$2:$B$46,"Akun baru (di rumah, ±5 mnt)")</f>
      </c>
      <c r="C12" s="11">
        <f>COUNTIFS(Tes!$B$2:$B$46,"Akun baru (di rumah, ±5 mnt)",Tes!$E$2:$E$46,"OK")</f>
      </c>
      <c r="D12" s="11">
        <f>COUNTIFS(Tes!$B$2:$B$46,"Akun baru (di rumah, ±5 mnt)",Tes!$E$2:$E$46,"Bug")</f>
      </c>
      <c r="E12" s="11">
        <f>COUNTIFS(Tes!$B$2:$B$46,"Akun baru (di rumah, ±5 mnt)",Tes!$E$2:$E$46,"Skip")</f>
      </c>
      <c r="F12" s="11">
        <f>COUNTIFS(Tes!$B$2:$B$46,"Akun baru (di rumah, ±5 mnt)",Tes!$E$2:$E$46,"Belum")</f>
      </c>
    </row>
    <row r="13" spans="1:6" x14ac:dyDescent="0.25">
      <c r="A13" s="11" t="s">
        <v>44</v>
      </c>
      <c r="B13" s="11">
        <f>COUNTIF(Tes!$B$2:$B$46,"Siapin rute (di rumah)")</f>
      </c>
      <c r="C13" s="11">
        <f>COUNTIFS(Tes!$B$2:$B$46,"Siapin rute (di rumah)",Tes!$E$2:$E$46,"OK")</f>
      </c>
      <c r="D13" s="11">
        <f>COUNTIFS(Tes!$B$2:$B$46,"Siapin rute (di rumah)",Tes!$E$2:$E$46,"Bug")</f>
      </c>
      <c r="E13" s="11">
        <f>COUNTIFS(Tes!$B$2:$B$46,"Siapin rute (di rumah)",Tes!$E$2:$E$46,"Skip")</f>
      </c>
      <c r="F13" s="11">
        <f>COUNTIFS(Tes!$B$2:$B$46,"Siapin rute (di rumah)",Tes!$E$2:$E$46,"Belum")</f>
      </c>
    </row>
    <row r="14" spans="1:6" x14ac:dyDescent="0.25">
      <c r="A14" s="11" t="s">
        <v>57</v>
      </c>
      <c r="B14" s="11">
        <f>COUNTIF(Tes!$B$2:$B$46,"Start (di depan rumah)")</f>
      </c>
      <c r="C14" s="11">
        <f>COUNTIFS(Tes!$B$2:$B$46,"Start (di depan rumah)",Tes!$E$2:$E$46,"OK")</f>
      </c>
      <c r="D14" s="11">
        <f>COUNTIFS(Tes!$B$2:$B$46,"Start (di depan rumah)",Tes!$E$2:$E$46,"Bug")</f>
      </c>
      <c r="E14" s="11">
        <f>COUNTIFS(Tes!$B$2:$B$46,"Start (di depan rumah)",Tes!$E$2:$E$46,"Skip")</f>
      </c>
      <c r="F14" s="11">
        <f>COUNTIFS(Tes!$B$2:$B$46,"Start (di depan rumah)",Tes!$E$2:$E$46,"Belum")</f>
      </c>
    </row>
    <row r="15" spans="1:6" x14ac:dyDescent="0.25">
      <c r="A15" s="11" t="s">
        <v>67</v>
      </c>
      <c r="B15" s="11">
        <f>COUNTIF(Tes!$B$2:$B$46,"Selama jalan (±15–25 mnt)")</f>
      </c>
      <c r="C15" s="11">
        <f>COUNTIFS(Tes!$B$2:$B$46,"Selama jalan (±15–25 mnt)",Tes!$E$2:$E$46,"OK")</f>
      </c>
      <c r="D15" s="11">
        <f>COUNTIFS(Tes!$B$2:$B$46,"Selama jalan (±15–25 mnt)",Tes!$E$2:$E$46,"Bug")</f>
      </c>
      <c r="E15" s="11">
        <f>COUNTIFS(Tes!$B$2:$B$46,"Selama jalan (±15–25 mnt)",Tes!$E$2:$E$46,"Skip")</f>
      </c>
      <c r="F15" s="11">
        <f>COUNTIFS(Tes!$B$2:$B$46,"Selama jalan (±15–25 mnt)",Tes!$E$2:$E$46,"Belum")</f>
      </c>
    </row>
    <row r="16" spans="1:6" x14ac:dyDescent="0.25">
      <c r="A16" s="11" t="s">
        <v>95</v>
      </c>
      <c r="B16" s="11">
        <f>COUNTIF(Tes!$B$2:$B$46,"Rekaman kepotong")</f>
      </c>
      <c r="C16" s="11">
        <f>COUNTIFS(Tes!$B$2:$B$46,"Rekaman kepotong",Tes!$E$2:$E$46,"OK")</f>
      </c>
      <c r="D16" s="11">
        <f>COUNTIFS(Tes!$B$2:$B$46,"Rekaman kepotong",Tes!$E$2:$E$46,"Bug")</f>
      </c>
      <c r="E16" s="11">
        <f>COUNTIFS(Tes!$B$2:$B$46,"Rekaman kepotong",Tes!$E$2:$E$46,"Skip")</f>
      </c>
      <c r="F16" s="11">
        <f>COUNTIFS(Tes!$B$2:$B$46,"Rekaman kepotong",Tes!$E$2:$E$46,"Belum")</f>
      </c>
    </row>
    <row r="17" spans="1:6" x14ac:dyDescent="0.25">
      <c r="A17" s="11" t="s">
        <v>105</v>
      </c>
      <c r="B17" s="11">
        <f>COUNTIF(Tes!$B$2:$B$46,"Abis selesai (di rumah)")</f>
      </c>
      <c r="C17" s="11">
        <f>COUNTIFS(Tes!$B$2:$B$46,"Abis selesai (di rumah)",Tes!$E$2:$E$46,"OK")</f>
      </c>
      <c r="D17" s="11">
        <f>COUNTIFS(Tes!$B$2:$B$46,"Abis selesai (di rumah)",Tes!$E$2:$E$46,"Bug")</f>
      </c>
      <c r="E17" s="11">
        <f>COUNTIFS(Tes!$B$2:$B$46,"Abis selesai (di rumah)",Tes!$E$2:$E$46,"Skip")</f>
      </c>
      <c r="F17" s="11">
        <f>COUNTIFS(Tes!$B$2:$B$46,"Abis selesai (di rumah)",Tes!$E$2:$E$46,"Belum")</f>
      </c>
    </row>
    <row r="18" spans="1:6" x14ac:dyDescent="0.25">
      <c r="A18" s="11" t="s">
        <v>130</v>
      </c>
      <c r="B18" s="11">
        <f>COUNTIF(Tes!$B$2:$B$46,"Rombongan (di rumah, tanpa temen)")</f>
      </c>
      <c r="C18" s="11">
        <f>COUNTIFS(Tes!$B$2:$B$46,"Rombongan (di rumah, tanpa temen)",Tes!$E$2:$E$46,"OK")</f>
      </c>
      <c r="D18" s="11">
        <f>COUNTIFS(Tes!$B$2:$B$46,"Rombongan (di rumah, tanpa temen)",Tes!$E$2:$E$46,"Bug")</f>
      </c>
      <c r="E18" s="11">
        <f>COUNTIFS(Tes!$B$2:$B$46,"Rombongan (di rumah, tanpa temen)",Tes!$E$2:$E$46,"Skip")</f>
      </c>
      <c r="F18" s="11">
        <f>COUNTIFS(Tes!$B$2:$B$46,"Rombongan (di rumah, tanpa temen)",Tes!$E$2:$E$46,"Belum")</f>
      </c>
    </row>
    <row r="19" spans="1:6" x14ac:dyDescent="0.25">
      <c r="A19" s="11" t="s">
        <v>143</v>
      </c>
      <c r="B19" s="11">
        <f>COUNTIF(Tes!$B$2:$B$46,"Catetan umum")</f>
      </c>
      <c r="C19" s="11">
        <f>COUNTIFS(Tes!$B$2:$B$46,"Catetan umum",Tes!$E$2:$E$46,"OK")</f>
      </c>
      <c r="D19" s="11">
        <f>COUNTIFS(Tes!$B$2:$B$46,"Catetan umum",Tes!$E$2:$E$46,"Bug")</f>
      </c>
      <c r="E19" s="11">
        <f>COUNTIFS(Tes!$B$2:$B$46,"Catetan umum",Tes!$E$2:$E$46,"Skip")</f>
      </c>
      <c r="F19" s="11">
        <f>COUNTIFS(Tes!$B$2:$B$46,"Catetan umum",Tes!$E$2:$E$46,"Belum")</f>
      </c>
    </row>
    <row r="20" spans="1:6" x14ac:dyDescent="0.25">
      <c r="A20" s="12" t="s">
        <v>159</v>
      </c>
      <c r="B20" s="12">
        <f>SUM(B11:B19)</f>
      </c>
      <c r="C20" s="12">
        <f>SUM(C11:C19)</f>
      </c>
      <c r="D20" s="12">
        <f>SUM(D11:D19)</f>
      </c>
      <c r="E20" s="12">
        <f>SUM(E11:E19)</f>
      </c>
      <c r="F20" s="12">
        <f>SUM(F11:F19)</f>
      </c>
    </row>
    <row r="22" spans="1:2" x14ac:dyDescent="0.25">
      <c r="A22" s="9" t="s">
        <v>163</v>
      </c>
      <c r="B22" s="13">
        <f>IF(B20=0,0,(C20+D20+E20)/B20)</f>
      </c>
    </row>
    <row r="24" spans="1:1" x14ac:dyDescent="0.25">
      <c r="A24" s="9" t="s">
        <v>164</v>
      </c>
    </row>
    <row r="25" spans="1:2" x14ac:dyDescent="0.25">
      <c r="A25" s="8" t="s">
        <v>165</v>
      </c>
      <c r="B25" s="14"/>
    </row>
    <row r="26" spans="1:2" x14ac:dyDescent="0.25">
      <c r="A26" s="8" t="s">
        <v>166</v>
      </c>
      <c r="B26" s="14"/>
    </row>
    <row r="27" spans="1:2" x14ac:dyDescent="0.25">
      <c r="A27" s="8" t="s">
        <v>167</v>
      </c>
      <c r="B27" s="14"/>
    </row>
    <row r="28" spans="1:2" x14ac:dyDescent="0.25">
      <c r="A28" s="8" t="s">
        <v>168</v>
      </c>
      <c r="B28" s="14"/>
    </row>
    <row r="29" spans="1:2" x14ac:dyDescent="0.25">
      <c r="A29" s="8" t="s">
        <v>169</v>
      </c>
      <c r="B29" s="14"/>
    </row>
    <row r="30" spans="1:2" x14ac:dyDescent="0.25">
      <c r="A30" s="8" t="s">
        <v>170</v>
      </c>
      <c r="B30" s="15">
        <f>IF(OR(B25="",B26="",B26=0),"",B25/B26-1)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Bulakbalik CYC</dc:creator>
  <dc:title/>
  <dc:subject/>
  <dc:description/>
  <cp:keywords/>
  <cp:category/>
  <cp:lastModifiedBy>Unknown</cp:lastModifiedBy>
  <dcterms:created xsi:type="dcterms:W3CDTF">2026-10-16T16:30:41Z</dcterms:created>
  <dcterms:modified xsi:type="dcterms:W3CDTF">2026-10-16T16:30:41Z</dcterms:modified>
</cp:coreProperties>
</file>